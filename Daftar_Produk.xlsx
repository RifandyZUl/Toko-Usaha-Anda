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72AB3372-AA68-4CF1-B536-DE288895EAD0}" xr6:coauthVersionLast="47" xr6:coauthVersionMax="47" xr10:uidLastSave="{00000000-0000-0000-0000-000000000000}"/>
  <bookViews>
    <workbookView xWindow="-110" yWindow="-110" windowWidth="19420" windowHeight="11020" tabRatio="500" xr2:uid="{00000000-000D-0000-FFFF-FFFF00000000}"/>
  </bookViews>
  <sheets>
    <sheet name="Daftar Produk" sheetId="1" r:id="rId1"/>
    <sheet name="Ringkasan" sheetId="2" r:id="rId2"/>
  </sheets>
  <definedNames>
    <definedName name="_xlnm._FilterDatabase" localSheetId="0" hidden="1">'Daftar Produk'!$A$1:$I$42</definedName>
    <definedName name="_xlnm.Print_Titles" localSheetId="0">'Daftar Produk'!$1:$1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3" i="2" l="1"/>
  <c r="D13" i="2"/>
  <c r="C13" i="2"/>
  <c r="E12" i="2"/>
  <c r="D12" i="2"/>
  <c r="C12" i="2"/>
  <c r="B12" i="2"/>
  <c r="E11" i="2"/>
  <c r="D11" i="2"/>
  <c r="C11" i="2"/>
  <c r="B11" i="2"/>
  <c r="E10" i="2"/>
  <c r="D10" i="2"/>
  <c r="C10" i="2"/>
  <c r="B10" i="2"/>
  <c r="E9" i="2"/>
  <c r="D9" i="2"/>
  <c r="C9" i="2"/>
  <c r="B9" i="2"/>
  <c r="E8" i="2"/>
  <c r="D8" i="2"/>
  <c r="C8" i="2"/>
  <c r="B8" i="2"/>
  <c r="E7" i="2"/>
  <c r="D7" i="2"/>
  <c r="C7" i="2"/>
  <c r="B7" i="2"/>
  <c r="E6" i="2"/>
  <c r="D6" i="2"/>
  <c r="C6" i="2"/>
  <c r="B6" i="2"/>
  <c r="E5" i="2"/>
  <c r="D5" i="2"/>
  <c r="C5" i="2"/>
  <c r="B5" i="2"/>
  <c r="E4" i="2"/>
  <c r="D4" i="2"/>
  <c r="C4" i="2"/>
  <c r="B4" i="2"/>
  <c r="E3" i="2"/>
  <c r="D3" i="2"/>
  <c r="C3" i="2"/>
  <c r="B3" i="2"/>
  <c r="E2" i="2"/>
  <c r="D2" i="2"/>
  <c r="C2" i="2"/>
  <c r="B2" i="2"/>
  <c r="B13" i="2" s="1"/>
</calcChain>
</file>

<file path=xl/sharedStrings.xml><?xml version="1.0" encoding="utf-8"?>
<sst xmlns="http://schemas.openxmlformats.org/spreadsheetml/2006/main" count="318" uniqueCount="248">
  <si>
    <t>No</t>
  </si>
  <si>
    <t>Nama Produk</t>
  </si>
  <si>
    <t>Kategori</t>
  </si>
  <si>
    <t>Merek</t>
  </si>
  <si>
    <t>Warna</t>
  </si>
  <si>
    <t>Spesifikasi</t>
  </si>
  <si>
    <t>Deskripsi</t>
  </si>
  <si>
    <t>Fitur Unggulan</t>
  </si>
  <si>
    <t>Harga (Rp)</t>
  </si>
  <si>
    <t>Sapu Ijuk Dragon Standar</t>
  </si>
  <si>
    <t>Sapu</t>
  </si>
  <si>
    <t>Dragon</t>
  </si>
  <si>
    <t>Biru</t>
  </si>
  <si>
    <t>Tipe: Sapu Ijuk Kipas
Ukuran total: ± 117 cm
Lebar kipas bawah: 40 cm
Lebar atas: 27 cm
Panjang tongkat: 90 cm
Gagang: pipa besi coating silver tahan karat (90 x 1,9 cm)
Harga sudah termasuk gagang</t>
  </si>
  <si>
    <t>Sapu Ijuk Dragon terbuat dari serat ijuk alami berkualitas tinggi dan gagang pipa yang ringan serta kuat, membantu Anda membersihkan lantai rumah dengan mudah dan bersih maksimal.</t>
  </si>
  <si>
    <t>• Gagang pipa besi berlapis coating silver tahan karat (90 x 1,9 cm)
• Serat ijuk tebal, anyaman kencang, dan tidak mudah rontok
• Ringan, seimbang, dan sangat nyaman digunakan</t>
  </si>
  <si>
    <t>Sapu Nilon Dragon Warna</t>
  </si>
  <si>
    <t>Random / acak (merah, hijau, biru)</t>
  </si>
  <si>
    <t>Tipe: Sapu Nilon / Plastik
Panjang gagang: ± 110 cm
Lebar kepala sapu: ± 30 cm
Bahan bulu: senar nilon sintetis lentur
Harga sudah termasuk gagang</t>
  </si>
  <si>
    <t>Sapu Nilon Dragon menggunakan bulu nilon berkualitas tinggi yang rapat, lentur, dan awet. Tahan air serta mudah dibilas jika kotor, sangat cocok untuk area lantai dapur maupun teras rumah.</t>
  </si>
  <si>
    <t>• Bulu sintetis lembut dan tidak mudah patah / mekar
• Gagang pipa ringan berlapis plastik motif
• Mudah dibersihkan dan cepat kering</t>
  </si>
  <si>
    <t>Sapu Ijuk Bom Bom Ekonomis</t>
  </si>
  <si>
    <t>Bom Bom</t>
  </si>
  <si>
    <t>Hitam kombinasi (warna pengikat acak)</t>
  </si>
  <si>
    <t>Tipe: Sapu Ijuk
Panjang total: ± 110 cm
Lebar bawah: ± 35 cm
Bahan gagang: pipa ringan
Harga sudah termasuk gagang</t>
  </si>
  <si>
    <t>Sapu Ijuk Bom Bom adalah solusi tepat untuk pembersih harian rumah tangga dengan bobot enteng dan anyaman ijuk yang rapi. Memudahkan menjangkau celah sempit di bawah kolong meja dan tempat tidur.</t>
  </si>
  <si>
    <t>• Anyaman ijuk rapat dan rapi
• Bobot sangat ringan, tangan tidak cepat lelah saat menyapu ruangan luas
• Awet dan ekonomis untuk penggunaan jangka panjang</t>
  </si>
  <si>
    <t>Sapu Nilon Panda Warna Cerah</t>
  </si>
  <si>
    <t>Panda</t>
  </si>
  <si>
    <t>Random cerah (kuning, biru, hijau, merah)</t>
  </si>
  <si>
    <t>Tipe: Sapu Nilon Warna
Panjang gagang: ± 105 cm
Lebar kepala sapu: ± 30 cm
Tinggi bulu: ± 12 cm
Harga sudah termasuk gagang</t>
  </si>
  <si>
    <t>Sapu Nilon Panda didesain dengan bulu sintetis fleksibel dan warna ceria. Efektif mengangkat remah kotoran di lantai keramik, granit, maupun parket kayu tanpa khawatir menggores permukaan lantai.</t>
  </si>
  <si>
    <t>• Bulu nilon halus dan rapat, debu tidak mudah beterbangan
• Ujung gagang memiliki lubang gantungan agar hemat ruang penyimpanan
• Gagang kokoh dan tahan penyok</t>
  </si>
  <si>
    <t>Sapu Ijuk Cap 2 Udang</t>
  </si>
  <si>
    <t>Cap 2 Udang</t>
  </si>
  <si>
    <t>Ijuk hitam legam</t>
  </si>
  <si>
    <t>Tipe: Sapu Ijuk Tradisional
Panjang total: ± 115 - 120 cm
Lebar kipas bawah: ± 35 cm
Bahan: serat ijuk aren pilihan
Harga sudah termasuk gagang</t>
  </si>
  <si>
    <t>Sapu Ijuk Cap 2 Udang terbuat dari serat aren pilihan dengan anyaman kawat yang kencang dan awet. Terkenal kuat untuk membersihkan debu lantai keramik, lantai semen, maupun rontokan daun di teras.</t>
  </si>
  <si>
    <t>• Ikatan anyaman ganda kuat dan tidak mudah lepas
• Ijuk tebal dan awet untuk pemakaian harian
• Gagang lurus, kokoh, dan mantap digenggam</t>
  </si>
  <si>
    <t>Alat Pel Katun Dragon (Kecil)</t>
  </si>
  <si>
    <t>Alat Pel</t>
  </si>
  <si>
    <t>Putih (sumbu) / gagang abu/biru</t>
  </si>
  <si>
    <t>Tipe: Pel Katun Ukuran S / Kecil
Panjang gagang: ± 110 cm
Lebar kepala pel: ± 15 cm
Bahan serat: benang katun murni daya serap tinggi
Harga sudah termasuk gagang</t>
  </si>
  <si>
    <t>Alat Pel Dragon Kecil sangat cocok untuk membersihkan ruangan minimalis, kamar kos, maupun area sempit di sekitar perabot. Benang katunnya tebal dan berdaya serap air sangat cepat.</t>
  </si>
  <si>
    <t>• Kepala pel drat ulir, mudah diganti jika sudah kotor
• Benang katun padat dan mudah diperas
• Gagang besi berlapis anti-karat</t>
  </si>
  <si>
    <t>Alat Pel Katun Dragon (Sedang)</t>
  </si>
  <si>
    <t>Putih (sumbu)</t>
  </si>
  <si>
    <t>Tipe: Pel Katun Ukuran M / Sedang
Panjang gagang: ± 110 cm
Lebar kepala pel: ± 18 cm
Bahan serat: benang katun kualitas standar rumah tangga
Harga sudah termasuk gagang</t>
  </si>
  <si>
    <t>Ukuran paling ideal untuk kebersihan rumah harian. Menjangkau permukaan lantai secara merata dan ampuh menyerap noda basah di lantai keramik maupun granit tanpa merusak kilau lantai.</t>
  </si>
  <si>
    <t>• Serat tebal dan tidak mudah rontok saat diseka
• Dilengkapi sistem drat putar yang kencang
• Gagang panjang ergonomis, menyeka lantai tanpa cepat pegal</t>
  </si>
  <si>
    <t>Alat Pel Katun Dragon Jumbo</t>
  </si>
  <si>
    <t>Tipe: Pel Katun Ukuran Jumbo (L/XL)
Panjang gagang: ± 120 cm
Lebar kepala pel: ± 23 - 25 cm
Bahan serat: katun ekstra tebal
Harga sudah termasuk gagang</t>
  </si>
  <si>
    <t>Dibuat khusus untuk efisiensi pembersihan ruangan luas seperti aula, kantor, ruko, atau ruang tamu besar. Bentangan sumbunya lebar sehingga proses mengepel selesai jauh lebih cepat.</t>
  </si>
  <si>
    <t>• Kapasitas serap air ekstra besar
• Gagang panjang kokoh, kuat menekan noda lantai membandel
• Cocok untuk kebutuhan rumah tinggal berukuran besar maupun komersial</t>
  </si>
  <si>
    <t>Alat Pel Sumbu Bom Bom (Kecil)</t>
  </si>
  <si>
    <t>Putih sumbu / gagang pipa warna</t>
  </si>
  <si>
    <t>Tipe: Pel Sumbu Kain Ukuran Kecil
Panjang gagang: ± 105 cm
Lebar kepala pel: ± 14 cm
Bahan serat: sumbu kain rajut
Harga sudah termasuk gagang</t>
  </si>
  <si>
    <t>Pilihan alat pel praktis untuk mengeringkan tumpahan air harian di dapur dan kamar mandi. Bobotnya yang ringan membuat aktivitas mengepel jadi lebih santai dan tidak menguras tenaga.</t>
  </si>
  <si>
    <t>• Daya serap air cepat dan mudah diperas
• Gagang ringan namun kokoh digunakan
• Harga ekonomis dengan mutu terjamin</t>
  </si>
  <si>
    <t>Alat Pel Sumbu Bom Bom (Besar)</t>
  </si>
  <si>
    <t>Putih sumbu</t>
  </si>
  <si>
    <t>Tipe: Pel Sumbu Kain Ukuran Besar
Panjang gagang: ± 110 cm
Lebar kepala pel: ± 20 cm
Bahan serat: sumbu kain katun tebal
Harga sudah termasuk gagang</t>
  </si>
  <si>
    <t>Pel Bom Bom ukuran besar dirancang untuk mengangkat kotoran basah di teras atau ruangan yang luas. Rajutan sumbunya rapat sehingga awet digosokkan ke permukaan lantai ubin maupun semen.</t>
  </si>
  <si>
    <t>• Bentangan kain lebar, mempercepat pengeringan lantai basah
• Tali sumbu kuat dan tidak mudah lepas
• Nyaman dipakai untuk pekerjaan rumah tangga harian</t>
  </si>
  <si>
    <t>Dorongan Air Karet Lantai (Wiper)</t>
  </si>
  <si>
    <t>Pembersih Lantai Lainnya</t>
  </si>
  <si>
    <t>Standar Utility / Lokal Berkualitas</t>
  </si>
  <si>
    <t>Hitam / gagang silver</t>
  </si>
  <si>
    <t>Tipe: Wiper Lantai / Karet Pendorong Air
Panjang gagang: ± 110 cm
Lebar karet wiper: ± 40 - 45 cm
Bahan: karet sintetis lentur &amp; besi plat
Harga sudah termasuk gagang</t>
  </si>
  <si>
    <t>Alat dorong air dengan bilah karet presisi yang menempel rata pada lantai. Sangat ampuh menyingkirkan genangan air sehabis hujan, mencuci kendaraan, atau mengeringkan lantai kamar mandi yang becek.</t>
  </si>
  <si>
    <t>• Karet tebal, elastis, dan tidak mudah sobek
• Menyapu genangan air dan sisa sabun dalam sekali tarik tanpa sisa
• Rangka penjepit besi kokoh tahan karat</t>
  </si>
  <si>
    <t>Sikat Lantai Gagang Panjang Dragon</t>
  </si>
  <si>
    <t>Kombinasi bulu warna &amp; gagang silver</t>
  </si>
  <si>
    <t>Tipe: Sikat Lantai Gagang
Panjang gagang: ± 110 cm
Ukuran kepala sikat: ± 20 x 5 cm
Bahan bulu: nilon kasar kaku (hard bristles)
Harga sudah termasuk gagang</t>
  </si>
  <si>
    <t>Solusi membersihkan kerak membandel dan lumut lantai kamar mandi tanpa perlu jongkok atau membungkuk. Bulu sikat kaku menempel kuat pada kepala sikat, bertenaga merontokkan kotoran di sela nat keramik.</t>
  </si>
  <si>
    <t>• Bulu sikat tahan terhadap cairan pembersih porselen/karbol
• Kepala sikat terpasang paten, tidak mudah patah saat ditekan
• Gagang panjang nyaman di genggaman tangan</t>
  </si>
  <si>
    <t>Toples Kerupuk Plastik Polos 5 Liter</t>
  </si>
  <si>
    <t>Toples &amp; Wadah Makanan</t>
  </si>
  <si>
    <t>Standar Food Grade</t>
  </si>
  <si>
    <t>Bening transparan (tutup warna acak)</t>
  </si>
  <si>
    <t>Tipe: Toples Plastik Kerupuk / Kue
Kapasitas: 5 liter
Diameter: ± 20 cm
Tinggi: ± 22 cm
Bahan: plastik PP food grade bebas BPA</t>
  </si>
  <si>
    <t>Toples bening serbaguna berkapasitas 5 liter dengan tutup putar rapat kedap udara. Menjaga kerenyahan kerupuk, keripik, rengginang, dan kue kering agar tahan lama serta bebas dari serbuan semut.</t>
  </si>
  <si>
    <t>• Bahan plastik murni, tebal, dan tidak berbau
• Tutup ulir rapat menjaga makanan tetap renyah
• Bodi transparan memudahkan melihat sisa isi di dalam wadah</t>
  </si>
  <si>
    <t>Toples Kerupuk Plastik Polos 10 Liter</t>
  </si>
  <si>
    <t>Tipe: Toples Kerupuk Sedang
Kapasitas: 10 liter
Diameter: ± 25 cm
Tinggi: ± 28 cm
Bahan: plastik PP tebal food grade</t>
  </si>
  <si>
    <t>Wadah kerupuk kapasitas 10 liter yang ideal untuk stok camilan keluarga besar maupun pajangan display di warung makan. Dilengkapi pegangan di bagian tutup atas agar mudah diputar dan dijinjing.</t>
  </si>
  <si>
    <t>• Mulut toples lebar, mudah saat mengambil makanan berukuran besar
• Tutup rapat menjaga sirkulasi udara luar terkunci sempurna
• Bodi kokoh dan tahan banting</t>
  </si>
  <si>
    <t>Toples Kerupuk Plastik Jumbo 15 Liter</t>
  </si>
  <si>
    <t>Bening transparan</t>
  </si>
  <si>
    <t>Tipe: Toples Kerupuk Jumbo
Kapasitas: 15 liter
Diameter: ± 28 cm
Tinggi: ± 35 cm
Bahan: plastik PP tebal berkualitas</t>
  </si>
  <si>
    <t>Toples ekstra besar kapasitas 15 liter berdinding tebal dan kuat. Sanggup menampung kerupuk mentah/matang dalam porsi hajatan, katering, atau warung bakso dalam jumlah banyak sekaligus.</t>
  </si>
  <si>
    <t>• Kapasitas super lega 15 liter
• Tutup ulir presisi memastikan makanan tetap garing dan gurih
• Plastik higienis dan mudah dibersihkan</t>
  </si>
  <si>
    <t>Keranjang Pakaian Kotak Plastik (Laundry Basket)</t>
  </si>
  <si>
    <t>Keranjang Pakaian</t>
  </si>
  <si>
    <t>Standar Plastik Tebal</t>
  </si>
  <si>
    <t>Random / acak (abu, cokelat, biru, hijau pastel)</t>
  </si>
  <si>
    <t>Tipe: Keranjang Pakaian Kotak Berongga
Ukuran: ± 45 x 35 x 38 cm
Bahan: plastik polypropylene elastis</t>
  </si>
  <si>
    <t>Keranjang pakaian kotor model kotak dengan anyaman rongga sirkulasi udara di setiap sisi. Mencegah pakaian cucian menjadi lembap dan berbau apek sebelum dicuci.</t>
  </si>
  <si>
    <t>• Rongga ventilasi udara lancar
• Handle pegangan di sisi kiri dan kanan nyaman saat mengangkat pakaian penuh
• Plastik lentur, tebal, dan tidak gampang retak</t>
  </si>
  <si>
    <t>Keranjang Pakaian Bulat Plastik Tinggi</t>
  </si>
  <si>
    <t>Random / acak</t>
  </si>
  <si>
    <t>Tipe: Keranjang Cucian Bulat
Diameter atas: ± 40 cm
Tinggi: ± 48 cm
Bahan: plastik lentur tahan banting</t>
  </si>
  <si>
    <t>Model silinder vertikal hemat ruang yang mampu menampung banyak cucian baju harian maupun selimut. Sangat serasi diletakkan di samping mesin cuci atau sudut kamar mandi kering.</t>
  </si>
  <si>
    <t>• Hemat tempat dengan daya tampung vertikal yang dalam
• Pinggiran melengkung halus dan aman di tangan
• Tahan air dan sangat mudah dicuci bersih</t>
  </si>
  <si>
    <t>Tali Bagasi Motor Pengikat Barang (Karet Bungee)</t>
  </si>
  <si>
    <t>Tali Bagasi Motor</t>
  </si>
  <si>
    <t>Universal</t>
  </si>
  <si>
    <t>Loreng / kombinasi warna acak</t>
  </si>
  <si>
    <t>Tipe: Tali Pengikat Bagasi Motor
Panjang normal: ± 100 cm (melar hingga ± 180 cm)
Diameter karet: ± 8 mm
Bahan pengait: kawat baja lapis galvanis</t>
  </si>
  <si>
    <t>Tali pengikat serbaguna dari inti karet lateks alam berlapis rajutan benang tebal. Fleksibel untuk mengikat helm, jaket, kardus paket, maupun tas ransel di jok belakang motor agar aman saat berkendara.</t>
  </si>
  <si>
    <t>• Karet elastis dan tidak mudah melar kendor
• Pengait kawat tebal anti-bengkok dengan ujung berpelindung tumpul
• Praktis disimpan di bawah jok motor</t>
  </si>
  <si>
    <t>Tali Tambang Nilon Plastik PE 3 mm (Rol/Meter)</t>
  </si>
  <si>
    <t>Tali Tambang</t>
  </si>
  <si>
    <t>Standar PE Kuat</t>
  </si>
  <si>
    <t>Random bintik / warna campur</t>
  </si>
  <si>
    <t>Tipe: Tali Tambang Plastik
Diameter: 3 mm
Bahan: polyethylene (PE)</t>
  </si>
  <si>
    <t>Tali tambang PE 3 mm dengan lilitan pilin rapat yang lentur dan kuat. Tahan terhadap panas matahari dan guyuran air hujan tanpa lapuk, sangat pas untuk jemuran baju ringan dan kerajinan tangan.</t>
  </si>
  <si>
    <t>• Anyaman padat dan tidak gampang mekar
• Mudah diikat simpul dan dilepas kembali
• Tahan cuaca outdoor</t>
  </si>
  <si>
    <t>Tali Tambang Nilon Plastik PE 4 mm (Rol/Meter)</t>
  </si>
  <si>
    <t>Random bintik / campur</t>
  </si>
  <si>
    <t>Tipe: Tali Tambang Plastik
Diameter: 4 mm
Bahan: polyethylene (PE)</t>
  </si>
  <si>
    <t>Ukuran serbaguna 4 mm yang sering dipakai untuk bentangan terpal atap, jemuran harian keluarga, dan tali pengikat kardus barang ekspedisi. Memiliki ketahanan gesekan yang sangat baik.</t>
  </si>
  <si>
    <t>• Serat ulet dan tahan tarikan sedang
• Anti-lapuk dan anti-jamur
• Cocok untuk kebutuhan rumah tangga maupun gudang</t>
  </si>
  <si>
    <t>Tali Tambang Nilon Plastik PE 5 mm (Rol/Meter)</t>
  </si>
  <si>
    <t>Random bintik</t>
  </si>
  <si>
    <t>Tipe: Tali Tambang Plastik
Diameter: 5 mm
Bahan: polyethylene (PE) serat tebal</t>
  </si>
  <si>
    <t>Tali tambang tebal ukuran 5 mm berkekuatan tarik tinggi. Pilihan handal untuk mengikat barang muatan di mobil pikap, tali pengaman tenda bazar, maupun pengikatan perlengkapan di area luar ruang.</t>
  </si>
  <si>
    <t>• Struktur anyaman liat dan tidak gampang putus
• Tahan gesekan benda bersudut
• Awet terkena oli atau air</t>
  </si>
  <si>
    <t>Tali Tambang Nilon Plastik PE 6 mm (Rol/Meter)</t>
  </si>
  <si>
    <t>Tipe: Tali Tambang Besar Heavy Duty
Diameter: 6 mm
Bahan: polyethylene (PE) murni</t>
  </si>
  <si>
    <t>Diameter besar 6 mm dengan ketahanan beban berat. Dirancang untuk pekerjaan berat seperti mengikat barang muatan bak truk, tali katrol derek manual di gudang, hingga tali tambat kapal perahu.</t>
  </si>
  <si>
    <t>• Daya tahan tarik maksimal dan tidak elastis molor
• Tahan gesekan kasar dan tahan panas terik
• Serat tidak getas meski bertahun-tahun</t>
  </si>
  <si>
    <t>Dudukan Plat Nomor Motor Standar (Cover Plat)</t>
  </si>
  <si>
    <t>Aksesoris Motor</t>
  </si>
  <si>
    <t>Universal Standar</t>
  </si>
  <si>
    <t>Hitam</t>
  </si>
  <si>
    <t>Tipe: Tatakan / Dudukan Plat Nomor
Isi paket: 1 pasang (depan &amp; belakang) + baut mur
Ukuran: sesuai plat standar Samsat (± 27,5 x 11,5 cm)
Bahan: plastik ABS tebal</t>
  </si>
  <si>
    <t>Dudukan plat nomor motor bermaterial plastik ABS tebal yang presisi. Membuat plat motor terlihat lebih rapi dan melindungi ujung plat dari risiko tertekuk tanpa perlu mengebor plat nomor aslinya.</t>
  </si>
  <si>
    <t>• Sistem pengunci jepit yang pas dan presisi
• Anti-getar dan tidak menimbulkan bunyi berisik saat motor melaju kencang
• Universal untuk segala jenis motor matic, bebek, dan sport</t>
  </si>
  <si>
    <t>Gantungan Baju Bulat 20 Stick Lion Star</t>
  </si>
  <si>
    <t>Gantungan Jemuran</t>
  </si>
  <si>
    <t>Lion Star</t>
  </si>
  <si>
    <t>Biru / merah (sesuai stok)</t>
  </si>
  <si>
    <t>Tipe: Folding Hanger 20 Sticks (GB-1)
Diameter bentang: ± 80 cm
Panjang stick: ± 33 cm
Bahan: plastik murni original Lion Star</t>
  </si>
  <si>
    <t>Hanger jemuran lipat putar 20 jari dari Lion Star yang terkenal kokoh, anti-patah, dan tahan panas terik matahari tanpa getas. Pilihan favorit untuk menjemur popok kain, baju bayi, dan kaus kaki secara rapi.</t>
  </si>
  <si>
    <t>• Poros berputar halus 360 derajat
• Ujung stick dilengkapi jepitan penahan pakaian
• Plastik tebal, lentur, dan bebas bau</t>
  </si>
  <si>
    <t>Gantungan Baju Bulat 24 Stick Lion Star</t>
  </si>
  <si>
    <t>Biru / merah</t>
  </si>
  <si>
    <t>Tipe: Folding Hanger 24 Sticks (GB-2)
Diameter bentang: ± 82 cm
Jumlah stick: 24 batang
Bahan: plastik premium grade Lion Star</t>
  </si>
  <si>
    <t>Menghadirkan 24 bilah jemuran kokoh dengan poros gantungan yang dapat diputar leluasa. Memudahkan menjemur banyak pakaian kecil dari satu sisi tanpa perlu memutari kawat jemuran.</t>
  </si>
  <si>
    <t>• Bahan plastik tebal original, tidak mudah bengkok menahan kain basah
• Pengait atas dilengkapi kaitan anti-angin
• Mudah dilipat rapat saat disimpan</t>
  </si>
  <si>
    <t>Gantungan Baju Bulat 30 Stick Lion Star</t>
  </si>
  <si>
    <t>Tipe: Folding Hanger 30 Sticks (GB-3)
Diameter bentang: ± 84 cm
Jumlah stick: 30 batang
Bahan: plastik murni tebal Lion Star</t>
  </si>
  <si>
    <t>Kapasitas terbesar 30 jari jemuran dari Lion Star. Sangat fungsional bagi keluarga dengan cucian bayi dan pakaian kecil harian yang banyak agar cepat kering dan hemat tempat jemuran.</t>
  </si>
  <si>
    <t>• Kapasitas muat maksimal hingga 30 pakaian kecil
• Kualitas plastik tahan cuaca ekstrem panas dan hujan
• Desain lipat praktis dan hemat ruang penyimpanan</t>
  </si>
  <si>
    <t>Gantungan Baju Bulat 20 Stick Standar Ekonomis</t>
  </si>
  <si>
    <t>Standar Ekonomis</t>
  </si>
  <si>
    <t>Random / campur</t>
  </si>
  <si>
    <t>Tipe: Folding Hanger 20 Jari
Diameter bentang: ± 75 cm
Bahan: plastik elastis</t>
  </si>
  <si>
    <t>Jemuran putar 20 jari dengan harga terjangkau dan bobot ringan. Pilihan praktis bagi anak kos dan rumah kontrakan untuk menjemur pakaian dalam dan kaus kaki di balkon atau teras.</t>
  </si>
  <si>
    <t>• Bobot enteng dan mudah digantung di mana saja
• Dapat dilipat ke bawah saat tidak terpakai
• Fungsional untuk pakaian berukuran kecil</t>
  </si>
  <si>
    <t>Gantungan Baju Bulat 24 Stick Standar Ekonomis</t>
  </si>
  <si>
    <t>Tipe: Folding Hanger 24 Jari
Diameter bentang: ± 78 cm
Bahan: plastik lentur</t>
  </si>
  <si>
    <t>Hanger putar 24 bilah jari ekonomis yang mampu mengeringkan banyak pakaian tanpa memakan banyak tempat jemuran mendatar. Angin leluasa masuk ke sela jemuran sehingga pakaian lebih lekas kering.</t>
  </si>
  <si>
    <t>• 24 batang jari penjemur fungsional
• Model payung yang ringkas dan fleksibel
• Harga ramah kantong</t>
  </si>
  <si>
    <t>Gantungan Baju Bulat 30 Stick Standar Ekonomis</t>
  </si>
  <si>
    <t>Tipe: Folding Hanger 30 Jari Jumbo
Diameter bentang: ± 80 cm
Bahan: plastik</t>
  </si>
  <si>
    <t>Model jemuran putar 30 stick berkapasitas muat maksimal dengan harga bersahabat. Pas untuk menjemur pakaian balita, sarung bantal kecil, serta lap dapur harian secara efisien.</t>
  </si>
  <si>
    <t>• Memuat hingga 30 potong cucian kecil sekaligus
• Poros gantungan putar lancar
• Praktis dilipat jika sedang tidak digunakan</t>
  </si>
  <si>
    <t>Tali Bagasi Motor Premium Pengait Kuningan Tebal</t>
  </si>
  <si>
    <t>Heavy Duty Series</t>
  </si>
  <si>
    <t>Hitam / campur</t>
  </si>
  <si>
    <t>Tipe: Tali Bagasi Pengait Kuningan
Panjang normal: ± 100 cm (melar maksimal ± 200 cm)
Diameter karet: ± 10 mm (ekstra tebal)
Bahan kait: logam kuningan lapis tebal anti-karat</t>
  </si>
  <si>
    <t>Karet bagasi kualitas premium dengan inti karet alam super elastis dan pengait berbahan kuningan tebal yang kokoh. Kait tidak akan membengkok atau berkarat meski ditarik dengan tenaga maksimal saat mengikat muatan berat.</t>
  </si>
  <si>
    <t>• Pengait kuningan solid, kokoh dan anti-bengkok
• Rajutan pembungkus serat nilon tebal anti-gesek
• Daya cengkeram ekstra kuat untuk perjalanan luar kota dan beban berat</t>
  </si>
  <si>
    <t>Tali Bagasi Motor Karet Pendek (1 Meter)</t>
  </si>
  <si>
    <t>Tipe: Karet Bagasi Pendek
Panjang normal: ± 100 cm (1 meter)
Diameter: ± 8 mm
Bahan pengait: kawat baja lapis selang pelindung</t>
  </si>
  <si>
    <t>Tali pengikat elastis panjang 1 meter, ukuran ringkas yang pas untuk keperluan harian. Mengunci jas hujan di begel belakang, mengikat jaket, atau menahan helm tanpa repot dengan sisa tali yang menjuntai.</t>
  </si>
  <si>
    <t>• Panjang pas 1 meter tanpa ribet menggulung sisa tali
• Karet fleksibel dan kuat
• Hook pengait terlindung agar bodi motor tidak lecet</t>
  </si>
  <si>
    <t>Tali Bagasi Motor Karet Panjang (2 Meter)</t>
  </si>
  <si>
    <t>Tipe: Karet Bagasi Panjang
Panjang normal: ± 200 cm (2 meter, melar hingga ± 350 cm)
Diameter: ± 8 mm
Bahan: karet sintetis elastis berlapis kain</t>
  </si>
  <si>
    <t>Panjang bentangan tali mencapai 2 meter, memberikan jangkauan lilitan luas untuk membawa dus paket besar, belanjaan karung, galon air, maupun barang bawaan mudik di jok belakang motor.</t>
  </si>
  <si>
    <t>• Panjang 2 meter leluasa melilit muatan bertumpuk
• Elastisitas mantap meredam guncangan selama perjalanan
• Sepasang hook besi kencang di kedua ujungnya</t>
  </si>
  <si>
    <t>Botol Semprotan Spray Serbaguna 500 ml</t>
  </si>
  <si>
    <t>Botol Semprot</t>
  </si>
  <si>
    <t>Universal Spray</t>
  </si>
  <si>
    <t>Botol bening/warna (kepala semprotan acak)</t>
  </si>
  <si>
    <t>Tipe: Trigger Sprayer 500 ml
Kapasitas: 500 ml
Bahan: plastik PET/HDPE tebal</t>
  </si>
  <si>
    <t>Botol semprot serbaguna ukuran sedang 500 ml dengan tuas semprot ergonomis. Nozzle di ujung semprotan bisa diputar untuk menyesuaikan pola air dari semprotan embun halus menyebar hingga semprotan air lurus bertekanan.</t>
  </si>
  <si>
    <t>• Nozzle putar adjustable (mist &amp; stream)
• Nyaman digenggam, tuas pompa ringan dan tidak macet
• Cocok untuk pelicin pakaian, memandikan burung, disinfektan, dan menyiram tanaman</t>
  </si>
  <si>
    <t>Botol Semprotan Spray Jumbo 1000 ml (1 Liter)</t>
  </si>
  <si>
    <t>Universal Spray Jumbo</t>
  </si>
  <si>
    <t>Tabung transparan / putih susu</t>
  </si>
  <si>
    <t>Tipe: Trigger Sprayer 1000 ml (1 liter)
Kapasitas: 1.000 ml
Bahan: plastik tebal tahan cairan kimia encer</t>
  </si>
  <si>
    <t>Tabung kapasitas besar 1 liter memudahkan Anda mencampur obat hama tanaman, sabun cuci motor, atau cairan pembersih kaca tanpa perlu bolak-balik mengisi ulang air.</t>
  </si>
  <si>
    <t>• Kapasitas lega 1 liter berdinding tabung tebal
• Dilengkapi selang filter hisap hingga ke dasar botol
• Semburan kencang dan merata</t>
  </si>
  <si>
    <t>Busa Handle Rem Motor Universal (Cover Sponge)</t>
  </si>
  <si>
    <t>Universal Racing / Standard</t>
  </si>
  <si>
    <t>Merah, kuning, biru, hijau (random)</t>
  </si>
  <si>
    <t>Tipe: Grip Sponge Handle Brake
Isi paket: 1 pasang (kiri &amp; kanan)
Panjang: ± 10 cm
Bahan: high density sponge foam (busa padat empuk)</t>
  </si>
  <si>
    <t>Pelindung tuas rem dan kopling motor berbahan busa padat empuk. Memberikan genggaman anti-slip saat tangan berkeringat atau basah kehujanan, serta meredakan rasa pegal pada jari saat menghadapi kemacetan panjang.</t>
  </si>
  <si>
    <t>• Busa tebal empuk dan meredam getaran tuas
• Mencegah tuas rem lecet akibat benturan
• Pemasangan mudah (universal untuk seluruh jenis motor)</t>
  </si>
  <si>
    <t>Gantungan Barang Motor CNC Model Bulat Lipat</t>
  </si>
  <si>
    <t>Variasi Universal CNC</t>
  </si>
  <si>
    <t>Hitam, merah, biru, emas, silver (finishing anodized)</t>
  </si>
  <si>
    <t>Tipe: Gantungan Lipat Model Bulat Cincin
Bahan: aluminium alloy CNC padat
Kelengkapan: 1 pcs gantungan + baut pemasangan</t>
  </si>
  <si>
    <t>Gantungan motor bermodel cincin lipat elegan berbahan aluminium CNC murni. Bisa dilipat rata saat tidak terpakai dan mengunci tas kresek belanjaan dengan rapat agar tidak terlepas saat melewati polisi tidur.</t>
  </si>
  <si>
    <t>• Bahan aluminium anti-karat dan tidak mudah patah
• Sistem engsel per otomatis lipat praktis
• Tampilan motor menjadi lebih rapi dan bergaya</t>
  </si>
  <si>
    <t>Gantungan Barang Motor Double Hook (Cabang 2) CNC</t>
  </si>
  <si>
    <t>Universal Variasi CNC</t>
  </si>
  <si>
    <t>Merah, biru, hitam, emas, silver</t>
  </si>
  <si>
    <t>Tipe: Double Hook (kait cabang 2)
Bahan: full logam aluminium CNC
Kelengkapan: 1 pcs gantungan + baut</t>
  </si>
  <si>
    <t>Gantungan motor berkait ganda yang memungkinkan Anda membawa dua kantong belanjaan sekaligus secara seimbang di sisi kanan dan kiri. Mampu menahan beban belanjaan berat tanpa risiko bengkok.</t>
  </si>
  <si>
    <t>• Desain dua kait terpisah, barang bawaan tidak bertumpuk
• Material logam cor kokoh anti-patah
• Pemasangan plug and play di bodi dek motor matic maupun stang motor bebek</t>
  </si>
  <si>
    <t>Gantungan Barang Motor Standar Universal (Model U)</t>
  </si>
  <si>
    <t>Universal Replacement</t>
  </si>
  <si>
    <t>Tipe: Cantelan Motor Model U
Bahan: besi lapis cat anti-karat / plastik nilon padat
Kelengkapan: 1 pcs gantungan</t>
  </si>
  <si>
    <t>Gantungan motor model standar berbentuk huruf U, pengganti pas untuk cantelan bawaan pabrik motor yang patah atau hilang. Lekukan dalamnya menjaga barang bawaan tetap aman selama perjalanan.</t>
  </si>
  <si>
    <t>• Model lekukan pas dan kuat menahan beban belanjaan harian
• Pemasangan sangat mudah pada lubang baut standar motor
• Awet dan tahan benturan</t>
  </si>
  <si>
    <t>Gembok Cakram Motor Mini / Kecil (Disc Lock)</t>
  </si>
  <si>
    <t>Gembok Cakram</t>
  </si>
  <si>
    <t>Universal Security</t>
  </si>
  <si>
    <t>Silver / merah / hitam</t>
  </si>
  <si>
    <t>Tipe: Disc Brake Lock Mini
Kelengkapan: 1 unit gembok cakram + 2 buah anak kunci
Ukuran pin kunci: ± 5,5 mm
Bahan: besi cor solid</t>
  </si>
  <si>
    <t>Pengaman tambahan piringan cakram berukuran mini yang mudah disimpan di saku celana atau laci motor. Menahan perputaran piringan rem cakram roda depan untuk mencegah tindakan pencurian motor.</t>
  </si>
  <si>
    <t>• Ukuran ringkas dan mudah dibawa ke mana saja
• Pin baja kuat mengunci lubang piringan rem cakram
• Praktis digunakan saat parkir di tempat umum</t>
  </si>
  <si>
    <t>Gembok Cakram Motor Besar Heavy Duty</t>
  </si>
  <si>
    <t>Universal Security Pro</t>
  </si>
  <si>
    <t>Silver chrome / hitam</t>
  </si>
  <si>
    <t>Tipe: Disc Brake Lock Heavy Duty
Kelengkapan: 1 unit gembok cakram besar + 2 anak kunci bulat presisi
Ukuran pin kunci: ± 10 mm (batang baja tebal)
Bahan: hardened solid steel (baja keras)</t>
  </si>
  <si>
    <t>Gembok cakram bodi tebal bermaterial baja padat anti-potong dan anti-gergaji. Menggunakan silinder kunci tubular bulat khusus yang sulit dibobol kunci T maupun kawat, memberikan perlindungan maksimal bagi motor Anda.</t>
  </si>
  <si>
    <t>• Bodi baja padat tebal tahan hantaman keras martil
• Silinder anak kunci bulat anti-maling
• Pin pengunci tebal untuk lubang piringan cakram motor</t>
  </si>
  <si>
    <t>Gembok Cakram Model Bulat (Round Disc Brake Lock)</t>
  </si>
  <si>
    <t>Universal Disc Lock</t>
  </si>
  <si>
    <t>Silver stainless / hitam</t>
  </si>
  <si>
    <t>Tipe: Round Disc Brake Lock (model bulat)
Kelengkapan: 1 unit gembok bulat + 2 anak kunci
Diameter bodi: ± 6,5 - 7 cm
Bahan: hardened alloy steel</t>
  </si>
  <si>
    <t>Desain bodi bulat melengkung tanpa sudut siku, menyulitkan pelaku kejahatan mencungkil atau memukul gembok dengan linggis. Memberikan proteksi ekstra yang rapi dan rapat di piringan rem cakram motor Anda.</t>
  </si>
  <si>
    <t>• Desain bulat solid tanpa celah congkelan
• Tahan cuaca luar ruang, anti-macet, dan anti-karat
• Mekanisme kunci putar rapat dan presisi</t>
  </si>
  <si>
    <t>Jumlah Produk</t>
  </si>
  <si>
    <t>Harga Terendah (Rp)</t>
  </si>
  <si>
    <t>Harga Tertinggi (Rp)</t>
  </si>
  <si>
    <t>Rata-rata Harga (Rp)</t>
  </si>
  <si>
    <t>Total / Keseluruhan</t>
  </si>
  <si>
    <t>Catatan:</t>
  </si>
  <si>
    <t>Harga bersumber dari daftar produk awal; deskripsi, spesifikasi, dan fitur bersumber dari dokumen deskripsi lengkap.</t>
  </si>
  <si>
    <t>Kolom Kategori, Merek, Warna, dan Spesifikasi disusun dari rincian produk pada dokumen deskripsi lengkap.</t>
  </si>
  <si>
    <t>Teks promosi toko (ajakan follow, hashtag, dan pernyataan komitmen pengecekan barang) tidak dimasukkan.</t>
  </si>
  <si>
    <t>Produk bergagang (sapu, pel, wiper, sikat) sudah termasuk gagang, tercantum pada kolom Spesifikasi.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</si>
</sst>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charset val="1"/>
    </font>
    <font>
      <sz val="10"/>
      <name val="Arial"/>
      <charset val="1"/>
    </font>
    <font>
      <b/>
      <sz val="10"/>
      <name val="Arial"/>
      <charset val="1"/>
    </font>
    <font>
      <i/>
      <sz val="10"/>
      <name val="Arial"/>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D9E1F2"/>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3" fontId="2" fillId="0" borderId="1" xfId="0" applyNumberFormat="1" applyFont="1" applyBorder="1" applyAlignment="1">
      <alignment horizontal="right" vertical="top" wrapText="1"/>
    </xf>
    <xf numFmtId="0" fontId="2"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3" fontId="2" fillId="3" borderId="1" xfId="0" applyNumberFormat="1" applyFont="1" applyFill="1" applyBorder="1" applyAlignment="1">
      <alignment horizontal="right" vertical="top" wrapText="1"/>
    </xf>
    <xf numFmtId="0" fontId="2" fillId="0" borderId="1" xfId="0" applyFont="1" applyBorder="1"/>
    <xf numFmtId="3" fontId="2" fillId="0" borderId="1" xfId="0" applyNumberFormat="1" applyFont="1" applyBorder="1" applyAlignment="1">
      <alignment horizontal="right"/>
    </xf>
    <xf numFmtId="0" fontId="3" fillId="4" borderId="1" xfId="0" applyFont="1" applyFill="1" applyBorder="1"/>
    <xf numFmtId="3" fontId="3" fillId="4" borderId="1" xfId="0" applyNumberFormat="1" applyFont="1" applyFill="1" applyBorder="1" applyAlignment="1">
      <alignment horizontal="right"/>
    </xf>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42"/>
  <sheetViews>
    <sheetView tabSelected="1" zoomScale="90" zoomScaleNormal="90" workbookViewId="0">
      <pane xSplit="2" ySplit="1" topLeftCell="G32" activePane="bottomRight" state="frozen"/>
      <selection pane="topRight" activeCell="C1" sqref="C1"/>
      <selection pane="bottomLeft" activeCell="A2" sqref="A2"/>
      <selection pane="bottomRight" activeCell="I24" sqref="I24"/>
    </sheetView>
  </sheetViews>
  <sheetFormatPr defaultColWidth="8.6328125" defaultRowHeight="14.5" x14ac:dyDescent="0.35"/>
  <cols>
    <col min="1" max="1" width="6" customWidth="1"/>
    <col min="2" max="2" width="34" customWidth="1"/>
    <col min="3" max="4" width="22" customWidth="1"/>
    <col min="5" max="5" width="24" customWidth="1"/>
    <col min="6" max="6" width="46" customWidth="1"/>
    <col min="7" max="7" width="62" customWidth="1"/>
    <col min="8" max="8" width="52" customWidth="1"/>
    <col min="9" max="9" width="14" customWidth="1"/>
  </cols>
  <sheetData>
    <row r="1" spans="1:9" ht="30" customHeight="1" x14ac:dyDescent="0.35">
      <c r="A1" s="1" t="s">
        <v>0</v>
      </c>
      <c r="B1" s="1" t="s">
        <v>1</v>
      </c>
      <c r="C1" s="1" t="s">
        <v>2</v>
      </c>
      <c r="D1" s="1" t="s">
        <v>3</v>
      </c>
      <c r="E1" s="1" t="s">
        <v>4</v>
      </c>
      <c r="F1" s="1" t="s">
        <v>5</v>
      </c>
      <c r="G1" s="1" t="s">
        <v>6</v>
      </c>
      <c r="H1" s="1" t="s">
        <v>7</v>
      </c>
      <c r="I1" s="1" t="s">
        <v>8</v>
      </c>
    </row>
    <row r="2" spans="1:9" ht="114" customHeight="1" x14ac:dyDescent="0.35">
      <c r="A2" s="2">
        <v>1</v>
      </c>
      <c r="B2" s="3" t="s">
        <v>9</v>
      </c>
      <c r="C2" s="4" t="s">
        <v>10</v>
      </c>
      <c r="D2" s="4" t="s">
        <v>11</v>
      </c>
      <c r="E2" s="4" t="s">
        <v>12</v>
      </c>
      <c r="F2" s="4" t="s">
        <v>13</v>
      </c>
      <c r="G2" s="4" t="s">
        <v>14</v>
      </c>
      <c r="H2" s="4" t="s">
        <v>15</v>
      </c>
      <c r="I2" s="5">
        <v>30000</v>
      </c>
    </row>
    <row r="3" spans="1:9" ht="73.5" customHeight="1" x14ac:dyDescent="0.35">
      <c r="A3" s="6">
        <v>2</v>
      </c>
      <c r="B3" s="7" t="s">
        <v>16</v>
      </c>
      <c r="C3" s="8" t="s">
        <v>10</v>
      </c>
      <c r="D3" s="8" t="s">
        <v>11</v>
      </c>
      <c r="E3" s="8" t="s">
        <v>17</v>
      </c>
      <c r="F3" s="8" t="s">
        <v>18</v>
      </c>
      <c r="G3" s="8" t="s">
        <v>19</v>
      </c>
      <c r="H3" s="8" t="s">
        <v>20</v>
      </c>
      <c r="I3" s="9">
        <v>30000</v>
      </c>
    </row>
    <row r="4" spans="1:9" ht="73.5" customHeight="1" x14ac:dyDescent="0.35">
      <c r="A4" s="2">
        <v>3</v>
      </c>
      <c r="B4" s="3" t="s">
        <v>21</v>
      </c>
      <c r="C4" s="4" t="s">
        <v>10</v>
      </c>
      <c r="D4" s="4" t="s">
        <v>22</v>
      </c>
      <c r="E4" s="4" t="s">
        <v>23</v>
      </c>
      <c r="F4" s="4" t="s">
        <v>24</v>
      </c>
      <c r="G4" s="4" t="s">
        <v>25</v>
      </c>
      <c r="H4" s="4" t="s">
        <v>26</v>
      </c>
      <c r="I4" s="5">
        <v>25000</v>
      </c>
    </row>
    <row r="5" spans="1:9" ht="73.5" customHeight="1" x14ac:dyDescent="0.35">
      <c r="A5" s="6">
        <v>4</v>
      </c>
      <c r="B5" s="7" t="s">
        <v>27</v>
      </c>
      <c r="C5" s="8" t="s">
        <v>10</v>
      </c>
      <c r="D5" s="8" t="s">
        <v>28</v>
      </c>
      <c r="E5" s="8" t="s">
        <v>29</v>
      </c>
      <c r="F5" s="8" t="s">
        <v>30</v>
      </c>
      <c r="G5" s="8" t="s">
        <v>31</v>
      </c>
      <c r="H5" s="8" t="s">
        <v>32</v>
      </c>
      <c r="I5" s="9">
        <v>30000</v>
      </c>
    </row>
    <row r="6" spans="1:9" ht="73.5" customHeight="1" x14ac:dyDescent="0.35">
      <c r="A6" s="2">
        <v>5</v>
      </c>
      <c r="B6" s="3" t="s">
        <v>33</v>
      </c>
      <c r="C6" s="4" t="s">
        <v>10</v>
      </c>
      <c r="D6" s="4" t="s">
        <v>34</v>
      </c>
      <c r="E6" s="4" t="s">
        <v>35</v>
      </c>
      <c r="F6" s="4" t="s">
        <v>36</v>
      </c>
      <c r="G6" s="4" t="s">
        <v>37</v>
      </c>
      <c r="H6" s="4" t="s">
        <v>38</v>
      </c>
      <c r="I6" s="5">
        <v>20000</v>
      </c>
    </row>
    <row r="7" spans="1:9" ht="73.5" customHeight="1" x14ac:dyDescent="0.35">
      <c r="A7" s="6">
        <v>6</v>
      </c>
      <c r="B7" s="7" t="s">
        <v>39</v>
      </c>
      <c r="C7" s="8" t="s">
        <v>40</v>
      </c>
      <c r="D7" s="8" t="s">
        <v>11</v>
      </c>
      <c r="E7" s="8" t="s">
        <v>41</v>
      </c>
      <c r="F7" s="8" t="s">
        <v>42</v>
      </c>
      <c r="G7" s="8" t="s">
        <v>43</v>
      </c>
      <c r="H7" s="8" t="s">
        <v>44</v>
      </c>
      <c r="I7" s="9">
        <v>25000</v>
      </c>
    </row>
    <row r="8" spans="1:9" ht="87" customHeight="1" x14ac:dyDescent="0.35">
      <c r="A8" s="2">
        <v>7</v>
      </c>
      <c r="B8" s="3" t="s">
        <v>45</v>
      </c>
      <c r="C8" s="4" t="s">
        <v>40</v>
      </c>
      <c r="D8" s="4" t="s">
        <v>11</v>
      </c>
      <c r="E8" s="4" t="s">
        <v>46</v>
      </c>
      <c r="F8" s="4" t="s">
        <v>47</v>
      </c>
      <c r="G8" s="4" t="s">
        <v>48</v>
      </c>
      <c r="H8" s="4" t="s">
        <v>49</v>
      </c>
      <c r="I8" s="5">
        <v>30000</v>
      </c>
    </row>
    <row r="9" spans="1:9" ht="73.5" customHeight="1" x14ac:dyDescent="0.35">
      <c r="A9" s="6">
        <v>8</v>
      </c>
      <c r="B9" s="7" t="s">
        <v>50</v>
      </c>
      <c r="C9" s="8" t="s">
        <v>40</v>
      </c>
      <c r="D9" s="8" t="s">
        <v>11</v>
      </c>
      <c r="E9" s="8" t="s">
        <v>46</v>
      </c>
      <c r="F9" s="8" t="s">
        <v>51</v>
      </c>
      <c r="G9" s="8" t="s">
        <v>52</v>
      </c>
      <c r="H9" s="8" t="s">
        <v>53</v>
      </c>
      <c r="I9" s="9">
        <v>35000</v>
      </c>
    </row>
    <row r="10" spans="1:9" ht="73.5" customHeight="1" x14ac:dyDescent="0.35">
      <c r="A10" s="2">
        <v>9</v>
      </c>
      <c r="B10" s="3" t="s">
        <v>54</v>
      </c>
      <c r="C10" s="4" t="s">
        <v>40</v>
      </c>
      <c r="D10" s="4" t="s">
        <v>22</v>
      </c>
      <c r="E10" s="4" t="s">
        <v>55</v>
      </c>
      <c r="F10" s="4" t="s">
        <v>56</v>
      </c>
      <c r="G10" s="4" t="s">
        <v>57</v>
      </c>
      <c r="H10" s="4" t="s">
        <v>58</v>
      </c>
      <c r="I10" s="5">
        <v>20000</v>
      </c>
    </row>
    <row r="11" spans="1:9" ht="73.5" customHeight="1" x14ac:dyDescent="0.35">
      <c r="A11" s="6">
        <v>10</v>
      </c>
      <c r="B11" s="7" t="s">
        <v>59</v>
      </c>
      <c r="C11" s="8" t="s">
        <v>40</v>
      </c>
      <c r="D11" s="8" t="s">
        <v>22</v>
      </c>
      <c r="E11" s="8" t="s">
        <v>60</v>
      </c>
      <c r="F11" s="8" t="s">
        <v>61</v>
      </c>
      <c r="G11" s="8" t="s">
        <v>62</v>
      </c>
      <c r="H11" s="8" t="s">
        <v>63</v>
      </c>
      <c r="I11" s="9">
        <v>25000</v>
      </c>
    </row>
    <row r="12" spans="1:9" ht="73.5" customHeight="1" x14ac:dyDescent="0.35">
      <c r="A12" s="2">
        <v>11</v>
      </c>
      <c r="B12" s="3" t="s">
        <v>64</v>
      </c>
      <c r="C12" s="4" t="s">
        <v>65</v>
      </c>
      <c r="D12" s="4" t="s">
        <v>66</v>
      </c>
      <c r="E12" s="4" t="s">
        <v>67</v>
      </c>
      <c r="F12" s="4" t="s">
        <v>68</v>
      </c>
      <c r="G12" s="4" t="s">
        <v>69</v>
      </c>
      <c r="H12" s="4" t="s">
        <v>70</v>
      </c>
      <c r="I12" s="5">
        <v>25000</v>
      </c>
    </row>
    <row r="13" spans="1:9" ht="73.5" customHeight="1" x14ac:dyDescent="0.35">
      <c r="A13" s="6">
        <v>12</v>
      </c>
      <c r="B13" s="7" t="s">
        <v>71</v>
      </c>
      <c r="C13" s="8" t="s">
        <v>65</v>
      </c>
      <c r="D13" s="8" t="s">
        <v>11</v>
      </c>
      <c r="E13" s="8" t="s">
        <v>72</v>
      </c>
      <c r="F13" s="8" t="s">
        <v>73</v>
      </c>
      <c r="G13" s="8" t="s">
        <v>74</v>
      </c>
      <c r="H13" s="8" t="s">
        <v>75</v>
      </c>
      <c r="I13" s="9">
        <v>30000</v>
      </c>
    </row>
    <row r="14" spans="1:9" ht="73.5" customHeight="1" x14ac:dyDescent="0.35">
      <c r="A14" s="2">
        <v>13</v>
      </c>
      <c r="B14" s="3" t="s">
        <v>76</v>
      </c>
      <c r="C14" s="4" t="s">
        <v>77</v>
      </c>
      <c r="D14" s="4" t="s">
        <v>78</v>
      </c>
      <c r="E14" s="4" t="s">
        <v>79</v>
      </c>
      <c r="F14" s="4" t="s">
        <v>80</v>
      </c>
      <c r="G14" s="4" t="s">
        <v>81</v>
      </c>
      <c r="H14" s="4" t="s">
        <v>82</v>
      </c>
      <c r="I14" s="5">
        <v>15000</v>
      </c>
    </row>
    <row r="15" spans="1:9" ht="73.5" customHeight="1" x14ac:dyDescent="0.35">
      <c r="A15" s="6">
        <v>14</v>
      </c>
      <c r="B15" s="7" t="s">
        <v>83</v>
      </c>
      <c r="C15" s="8" t="s">
        <v>77</v>
      </c>
      <c r="D15" s="8" t="s">
        <v>78</v>
      </c>
      <c r="E15" s="8" t="s">
        <v>79</v>
      </c>
      <c r="F15" s="8" t="s">
        <v>84</v>
      </c>
      <c r="G15" s="8" t="s">
        <v>85</v>
      </c>
      <c r="H15" s="8" t="s">
        <v>86</v>
      </c>
      <c r="I15" s="9">
        <v>25000</v>
      </c>
    </row>
    <row r="16" spans="1:9" ht="73.5" customHeight="1" x14ac:dyDescent="0.35">
      <c r="A16" s="2">
        <v>15</v>
      </c>
      <c r="B16" s="3" t="s">
        <v>87</v>
      </c>
      <c r="C16" s="4" t="s">
        <v>77</v>
      </c>
      <c r="D16" s="4" t="s">
        <v>78</v>
      </c>
      <c r="E16" s="4" t="s">
        <v>88</v>
      </c>
      <c r="F16" s="4" t="s">
        <v>89</v>
      </c>
      <c r="G16" s="4" t="s">
        <v>90</v>
      </c>
      <c r="H16" s="4" t="s">
        <v>91</v>
      </c>
      <c r="I16" s="5">
        <v>35000</v>
      </c>
    </row>
    <row r="17" spans="1:9" ht="60" customHeight="1" x14ac:dyDescent="0.35">
      <c r="A17" s="6">
        <v>16</v>
      </c>
      <c r="B17" s="7" t="s">
        <v>92</v>
      </c>
      <c r="C17" s="8" t="s">
        <v>93</v>
      </c>
      <c r="D17" s="8" t="s">
        <v>94</v>
      </c>
      <c r="E17" s="8" t="s">
        <v>95</v>
      </c>
      <c r="F17" s="8" t="s">
        <v>96</v>
      </c>
      <c r="G17" s="8" t="s">
        <v>97</v>
      </c>
      <c r="H17" s="8" t="s">
        <v>98</v>
      </c>
      <c r="I17" s="9">
        <v>35000</v>
      </c>
    </row>
    <row r="18" spans="1:9" ht="60" customHeight="1" x14ac:dyDescent="0.35">
      <c r="A18" s="2">
        <v>17</v>
      </c>
      <c r="B18" s="3" t="s">
        <v>99</v>
      </c>
      <c r="C18" s="4" t="s">
        <v>93</v>
      </c>
      <c r="D18" s="4" t="s">
        <v>94</v>
      </c>
      <c r="E18" s="4" t="s">
        <v>100</v>
      </c>
      <c r="F18" s="4" t="s">
        <v>101</v>
      </c>
      <c r="G18" s="4" t="s">
        <v>102</v>
      </c>
      <c r="H18" s="4" t="s">
        <v>103</v>
      </c>
      <c r="I18" s="5">
        <v>35000</v>
      </c>
    </row>
    <row r="19" spans="1:9" ht="60" customHeight="1" x14ac:dyDescent="0.35">
      <c r="A19" s="6">
        <v>18</v>
      </c>
      <c r="B19" s="7" t="s">
        <v>104</v>
      </c>
      <c r="C19" s="8" t="s">
        <v>105</v>
      </c>
      <c r="D19" s="8" t="s">
        <v>106</v>
      </c>
      <c r="E19" s="8" t="s">
        <v>107</v>
      </c>
      <c r="F19" s="8" t="s">
        <v>108</v>
      </c>
      <c r="G19" s="8" t="s">
        <v>109</v>
      </c>
      <c r="H19" s="8" t="s">
        <v>110</v>
      </c>
      <c r="I19" s="9">
        <v>8000</v>
      </c>
    </row>
    <row r="20" spans="1:9" ht="46.5" customHeight="1" x14ac:dyDescent="0.35">
      <c r="A20" s="2">
        <v>19</v>
      </c>
      <c r="B20" s="3" t="s">
        <v>111</v>
      </c>
      <c r="C20" s="4" t="s">
        <v>112</v>
      </c>
      <c r="D20" s="4" t="s">
        <v>113</v>
      </c>
      <c r="E20" s="4" t="s">
        <v>114</v>
      </c>
      <c r="F20" s="4" t="s">
        <v>115</v>
      </c>
      <c r="G20" s="4" t="s">
        <v>116</v>
      </c>
      <c r="H20" s="4" t="s">
        <v>117</v>
      </c>
      <c r="I20" s="5">
        <v>15000</v>
      </c>
    </row>
    <row r="21" spans="1:9" ht="46.5" customHeight="1" x14ac:dyDescent="0.35">
      <c r="A21" s="6">
        <v>20</v>
      </c>
      <c r="B21" s="7" t="s">
        <v>118</v>
      </c>
      <c r="C21" s="8" t="s">
        <v>112</v>
      </c>
      <c r="D21" s="8" t="s">
        <v>113</v>
      </c>
      <c r="E21" s="8" t="s">
        <v>119</v>
      </c>
      <c r="F21" s="8" t="s">
        <v>120</v>
      </c>
      <c r="G21" s="8" t="s">
        <v>121</v>
      </c>
      <c r="H21" s="8" t="s">
        <v>122</v>
      </c>
      <c r="I21" s="9">
        <v>20000</v>
      </c>
    </row>
    <row r="22" spans="1:9" ht="46.5" customHeight="1" x14ac:dyDescent="0.35">
      <c r="A22" s="2">
        <v>21</v>
      </c>
      <c r="B22" s="3" t="s">
        <v>123</v>
      </c>
      <c r="C22" s="4" t="s">
        <v>112</v>
      </c>
      <c r="D22" s="4" t="s">
        <v>113</v>
      </c>
      <c r="E22" s="4" t="s">
        <v>124</v>
      </c>
      <c r="F22" s="4" t="s">
        <v>125</v>
      </c>
      <c r="G22" s="4" t="s">
        <v>126</v>
      </c>
      <c r="H22" s="4" t="s">
        <v>127</v>
      </c>
      <c r="I22" s="5">
        <v>28000</v>
      </c>
    </row>
    <row r="23" spans="1:9" ht="46.5" customHeight="1" x14ac:dyDescent="0.35">
      <c r="A23" s="6">
        <v>22</v>
      </c>
      <c r="B23" s="7" t="s">
        <v>128</v>
      </c>
      <c r="C23" s="8" t="s">
        <v>112</v>
      </c>
      <c r="D23" s="8" t="s">
        <v>113</v>
      </c>
      <c r="E23" s="8" t="s">
        <v>124</v>
      </c>
      <c r="F23" s="8" t="s">
        <v>129</v>
      </c>
      <c r="G23" s="8" t="s">
        <v>130</v>
      </c>
      <c r="H23" s="8" t="s">
        <v>131</v>
      </c>
      <c r="I23" s="9">
        <v>38000</v>
      </c>
    </row>
    <row r="24" spans="1:9" ht="73.5" customHeight="1" x14ac:dyDescent="0.35">
      <c r="A24" s="2">
        <v>23</v>
      </c>
      <c r="B24" s="3" t="s">
        <v>132</v>
      </c>
      <c r="C24" s="4" t="s">
        <v>133</v>
      </c>
      <c r="D24" s="4" t="s">
        <v>134</v>
      </c>
      <c r="E24" s="4" t="s">
        <v>135</v>
      </c>
      <c r="F24" s="4" t="s">
        <v>136</v>
      </c>
      <c r="G24" s="4" t="s">
        <v>137</v>
      </c>
      <c r="H24" s="4" t="s">
        <v>138</v>
      </c>
      <c r="I24" s="5">
        <v>25000</v>
      </c>
    </row>
    <row r="25" spans="1:9" ht="60" customHeight="1" x14ac:dyDescent="0.35">
      <c r="A25" s="6">
        <v>24</v>
      </c>
      <c r="B25" s="7" t="s">
        <v>139</v>
      </c>
      <c r="C25" s="8" t="s">
        <v>140</v>
      </c>
      <c r="D25" s="8" t="s">
        <v>141</v>
      </c>
      <c r="E25" s="8" t="s">
        <v>142</v>
      </c>
      <c r="F25" s="8" t="s">
        <v>143</v>
      </c>
      <c r="G25" s="8" t="s">
        <v>144</v>
      </c>
      <c r="H25" s="8" t="s">
        <v>145</v>
      </c>
      <c r="I25" s="9">
        <v>38000</v>
      </c>
    </row>
    <row r="26" spans="1:9" ht="60" customHeight="1" x14ac:dyDescent="0.35">
      <c r="A26" s="2">
        <v>25</v>
      </c>
      <c r="B26" s="3" t="s">
        <v>146</v>
      </c>
      <c r="C26" s="4" t="s">
        <v>140</v>
      </c>
      <c r="D26" s="4" t="s">
        <v>141</v>
      </c>
      <c r="E26" s="4" t="s">
        <v>147</v>
      </c>
      <c r="F26" s="4" t="s">
        <v>148</v>
      </c>
      <c r="G26" s="4" t="s">
        <v>149</v>
      </c>
      <c r="H26" s="4" t="s">
        <v>150</v>
      </c>
      <c r="I26" s="5">
        <v>45000</v>
      </c>
    </row>
    <row r="27" spans="1:9" ht="60" customHeight="1" x14ac:dyDescent="0.35">
      <c r="A27" s="6">
        <v>26</v>
      </c>
      <c r="B27" s="7" t="s">
        <v>151</v>
      </c>
      <c r="C27" s="8" t="s">
        <v>140</v>
      </c>
      <c r="D27" s="8" t="s">
        <v>141</v>
      </c>
      <c r="E27" s="8" t="s">
        <v>147</v>
      </c>
      <c r="F27" s="8" t="s">
        <v>152</v>
      </c>
      <c r="G27" s="8" t="s">
        <v>153</v>
      </c>
      <c r="H27" s="8" t="s">
        <v>154</v>
      </c>
      <c r="I27" s="9">
        <v>55000</v>
      </c>
    </row>
    <row r="28" spans="1:9" ht="46.5" customHeight="1" x14ac:dyDescent="0.35">
      <c r="A28" s="2">
        <v>27</v>
      </c>
      <c r="B28" s="3" t="s">
        <v>155</v>
      </c>
      <c r="C28" s="4" t="s">
        <v>140</v>
      </c>
      <c r="D28" s="4" t="s">
        <v>156</v>
      </c>
      <c r="E28" s="4" t="s">
        <v>157</v>
      </c>
      <c r="F28" s="4" t="s">
        <v>158</v>
      </c>
      <c r="G28" s="4" t="s">
        <v>159</v>
      </c>
      <c r="H28" s="4" t="s">
        <v>160</v>
      </c>
      <c r="I28" s="5">
        <v>18000</v>
      </c>
    </row>
    <row r="29" spans="1:9" ht="46.5" customHeight="1" x14ac:dyDescent="0.35">
      <c r="A29" s="6">
        <v>28</v>
      </c>
      <c r="B29" s="7" t="s">
        <v>161</v>
      </c>
      <c r="C29" s="8" t="s">
        <v>140</v>
      </c>
      <c r="D29" s="8" t="s">
        <v>156</v>
      </c>
      <c r="E29" s="8" t="s">
        <v>157</v>
      </c>
      <c r="F29" s="8" t="s">
        <v>162</v>
      </c>
      <c r="G29" s="8" t="s">
        <v>163</v>
      </c>
      <c r="H29" s="8" t="s">
        <v>164</v>
      </c>
      <c r="I29" s="9">
        <v>22000</v>
      </c>
    </row>
    <row r="30" spans="1:9" ht="46.5" customHeight="1" x14ac:dyDescent="0.35">
      <c r="A30" s="2">
        <v>29</v>
      </c>
      <c r="B30" s="3" t="s">
        <v>165</v>
      </c>
      <c r="C30" s="4" t="s">
        <v>140</v>
      </c>
      <c r="D30" s="4" t="s">
        <v>156</v>
      </c>
      <c r="E30" s="4" t="s">
        <v>157</v>
      </c>
      <c r="F30" s="4" t="s">
        <v>166</v>
      </c>
      <c r="G30" s="4" t="s">
        <v>167</v>
      </c>
      <c r="H30" s="4" t="s">
        <v>168</v>
      </c>
      <c r="I30" s="5">
        <v>27000</v>
      </c>
    </row>
    <row r="31" spans="1:9" ht="60" customHeight="1" x14ac:dyDescent="0.35">
      <c r="A31" s="6">
        <v>30</v>
      </c>
      <c r="B31" s="7" t="s">
        <v>169</v>
      </c>
      <c r="C31" s="8" t="s">
        <v>105</v>
      </c>
      <c r="D31" s="8" t="s">
        <v>170</v>
      </c>
      <c r="E31" s="8" t="s">
        <v>171</v>
      </c>
      <c r="F31" s="8" t="s">
        <v>172</v>
      </c>
      <c r="G31" s="8" t="s">
        <v>173</v>
      </c>
      <c r="H31" s="8" t="s">
        <v>174</v>
      </c>
      <c r="I31" s="9">
        <v>18000</v>
      </c>
    </row>
    <row r="32" spans="1:9" ht="60" customHeight="1" x14ac:dyDescent="0.35">
      <c r="A32" s="2">
        <v>31</v>
      </c>
      <c r="B32" s="3" t="s">
        <v>175</v>
      </c>
      <c r="C32" s="4" t="s">
        <v>105</v>
      </c>
      <c r="D32" s="4" t="s">
        <v>106</v>
      </c>
      <c r="E32" s="4" t="s">
        <v>157</v>
      </c>
      <c r="F32" s="4" t="s">
        <v>176</v>
      </c>
      <c r="G32" s="4" t="s">
        <v>177</v>
      </c>
      <c r="H32" s="4" t="s">
        <v>178</v>
      </c>
      <c r="I32" s="5">
        <v>7000</v>
      </c>
    </row>
    <row r="33" spans="1:9" ht="73.5" customHeight="1" x14ac:dyDescent="0.35">
      <c r="A33" s="6">
        <v>32</v>
      </c>
      <c r="B33" s="7" t="s">
        <v>179</v>
      </c>
      <c r="C33" s="8" t="s">
        <v>105</v>
      </c>
      <c r="D33" s="8" t="s">
        <v>106</v>
      </c>
      <c r="E33" s="8" t="s">
        <v>157</v>
      </c>
      <c r="F33" s="8" t="s">
        <v>180</v>
      </c>
      <c r="G33" s="8" t="s">
        <v>181</v>
      </c>
      <c r="H33" s="8" t="s">
        <v>182</v>
      </c>
      <c r="I33" s="9">
        <v>12000</v>
      </c>
    </row>
    <row r="34" spans="1:9" ht="60" customHeight="1" x14ac:dyDescent="0.35">
      <c r="A34" s="2">
        <v>33</v>
      </c>
      <c r="B34" s="3" t="s">
        <v>183</v>
      </c>
      <c r="C34" s="4" t="s">
        <v>184</v>
      </c>
      <c r="D34" s="4" t="s">
        <v>185</v>
      </c>
      <c r="E34" s="4" t="s">
        <v>186</v>
      </c>
      <c r="F34" s="4" t="s">
        <v>187</v>
      </c>
      <c r="G34" s="4" t="s">
        <v>188</v>
      </c>
      <c r="H34" s="4" t="s">
        <v>189</v>
      </c>
      <c r="I34" s="5">
        <v>10000</v>
      </c>
    </row>
    <row r="35" spans="1:9" ht="46.5" customHeight="1" x14ac:dyDescent="0.35">
      <c r="A35" s="6">
        <v>34</v>
      </c>
      <c r="B35" s="7" t="s">
        <v>190</v>
      </c>
      <c r="C35" s="8" t="s">
        <v>184</v>
      </c>
      <c r="D35" s="8" t="s">
        <v>191</v>
      </c>
      <c r="E35" s="8" t="s">
        <v>192</v>
      </c>
      <c r="F35" s="8" t="s">
        <v>193</v>
      </c>
      <c r="G35" s="8" t="s">
        <v>194</v>
      </c>
      <c r="H35" s="8" t="s">
        <v>195</v>
      </c>
      <c r="I35" s="9">
        <v>16000</v>
      </c>
    </row>
    <row r="36" spans="1:9" ht="60" customHeight="1" x14ac:dyDescent="0.35">
      <c r="A36" s="2">
        <v>35</v>
      </c>
      <c r="B36" s="3" t="s">
        <v>196</v>
      </c>
      <c r="C36" s="4" t="s">
        <v>133</v>
      </c>
      <c r="D36" s="4" t="s">
        <v>197</v>
      </c>
      <c r="E36" s="4" t="s">
        <v>198</v>
      </c>
      <c r="F36" s="4" t="s">
        <v>199</v>
      </c>
      <c r="G36" s="4" t="s">
        <v>200</v>
      </c>
      <c r="H36" s="4" t="s">
        <v>201</v>
      </c>
      <c r="I36" s="5">
        <v>6000</v>
      </c>
    </row>
    <row r="37" spans="1:9" ht="60" customHeight="1" x14ac:dyDescent="0.35">
      <c r="A37" s="6">
        <v>36</v>
      </c>
      <c r="B37" s="7" t="s">
        <v>202</v>
      </c>
      <c r="C37" s="8" t="s">
        <v>133</v>
      </c>
      <c r="D37" s="8" t="s">
        <v>203</v>
      </c>
      <c r="E37" s="8" t="s">
        <v>204</v>
      </c>
      <c r="F37" s="8" t="s">
        <v>205</v>
      </c>
      <c r="G37" s="8" t="s">
        <v>206</v>
      </c>
      <c r="H37" s="8" t="s">
        <v>207</v>
      </c>
      <c r="I37" s="9">
        <v>22000</v>
      </c>
    </row>
    <row r="38" spans="1:9" ht="60" customHeight="1" x14ac:dyDescent="0.35">
      <c r="A38" s="2">
        <v>37</v>
      </c>
      <c r="B38" s="3" t="s">
        <v>208</v>
      </c>
      <c r="C38" s="4" t="s">
        <v>133</v>
      </c>
      <c r="D38" s="4" t="s">
        <v>209</v>
      </c>
      <c r="E38" s="4" t="s">
        <v>210</v>
      </c>
      <c r="F38" s="4" t="s">
        <v>211</v>
      </c>
      <c r="G38" s="4" t="s">
        <v>212</v>
      </c>
      <c r="H38" s="4" t="s">
        <v>213</v>
      </c>
      <c r="I38" s="5">
        <v>25000</v>
      </c>
    </row>
    <row r="39" spans="1:9" ht="60" customHeight="1" x14ac:dyDescent="0.35">
      <c r="A39" s="6">
        <v>38</v>
      </c>
      <c r="B39" s="7" t="s">
        <v>214</v>
      </c>
      <c r="C39" s="8" t="s">
        <v>133</v>
      </c>
      <c r="D39" s="8" t="s">
        <v>215</v>
      </c>
      <c r="E39" s="8" t="s">
        <v>135</v>
      </c>
      <c r="F39" s="8" t="s">
        <v>216</v>
      </c>
      <c r="G39" s="8" t="s">
        <v>217</v>
      </c>
      <c r="H39" s="8" t="s">
        <v>218</v>
      </c>
      <c r="I39" s="9">
        <v>8000</v>
      </c>
    </row>
    <row r="40" spans="1:9" ht="73.5" customHeight="1" x14ac:dyDescent="0.35">
      <c r="A40" s="2">
        <v>39</v>
      </c>
      <c r="B40" s="3" t="s">
        <v>219</v>
      </c>
      <c r="C40" s="4" t="s">
        <v>220</v>
      </c>
      <c r="D40" s="4" t="s">
        <v>221</v>
      </c>
      <c r="E40" s="4" t="s">
        <v>222</v>
      </c>
      <c r="F40" s="4" t="s">
        <v>223</v>
      </c>
      <c r="G40" s="4" t="s">
        <v>224</v>
      </c>
      <c r="H40" s="4" t="s">
        <v>225</v>
      </c>
      <c r="I40" s="5">
        <v>22000</v>
      </c>
    </row>
    <row r="41" spans="1:9" ht="73.5" customHeight="1" x14ac:dyDescent="0.35">
      <c r="A41" s="6">
        <v>40</v>
      </c>
      <c r="B41" s="7" t="s">
        <v>226</v>
      </c>
      <c r="C41" s="8" t="s">
        <v>220</v>
      </c>
      <c r="D41" s="8" t="s">
        <v>227</v>
      </c>
      <c r="E41" s="8" t="s">
        <v>228</v>
      </c>
      <c r="F41" s="8" t="s">
        <v>229</v>
      </c>
      <c r="G41" s="8" t="s">
        <v>230</v>
      </c>
      <c r="H41" s="8" t="s">
        <v>231</v>
      </c>
      <c r="I41" s="9">
        <v>35000</v>
      </c>
    </row>
    <row r="42" spans="1:9" ht="60" customHeight="1" x14ac:dyDescent="0.35">
      <c r="A42" s="2">
        <v>41</v>
      </c>
      <c r="B42" s="3" t="s">
        <v>232</v>
      </c>
      <c r="C42" s="4" t="s">
        <v>220</v>
      </c>
      <c r="D42" s="4" t="s">
        <v>233</v>
      </c>
      <c r="E42" s="4" t="s">
        <v>234</v>
      </c>
      <c r="F42" s="4" t="s">
        <v>235</v>
      </c>
      <c r="G42" s="4" t="s">
        <v>236</v>
      </c>
      <c r="H42" s="4" t="s">
        <v>237</v>
      </c>
      <c r="I42" s="5">
        <v>32000</v>
      </c>
    </row>
  </sheetData>
  <autoFilter ref="A1:I42" xr:uid="{00000000-0009-0000-0000-000000000000}"/>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
  <sheetViews>
    <sheetView zoomScaleNormal="100" workbookViewId="0"/>
  </sheetViews>
  <sheetFormatPr defaultColWidth="8.6328125" defaultRowHeight="14.5" x14ac:dyDescent="0.35"/>
  <cols>
    <col min="1" max="1" width="30" customWidth="1"/>
    <col min="2" max="2" width="15" customWidth="1"/>
    <col min="3" max="5" width="20" customWidth="1"/>
  </cols>
  <sheetData>
    <row r="1" spans="1:5" ht="30" customHeight="1" x14ac:dyDescent="0.35">
      <c r="A1" s="1" t="s">
        <v>2</v>
      </c>
      <c r="B1" s="1" t="s">
        <v>238</v>
      </c>
      <c r="C1" s="1" t="s">
        <v>239</v>
      </c>
      <c r="D1" s="1" t="s">
        <v>240</v>
      </c>
      <c r="E1" s="1" t="s">
        <v>241</v>
      </c>
    </row>
    <row r="2" spans="1:5" x14ac:dyDescent="0.35">
      <c r="A2" s="10" t="s">
        <v>10</v>
      </c>
      <c r="B2" s="11">
        <f>COUNTIF('Daftar Produk'!$C$2:$C$42,A2)</f>
        <v>5</v>
      </c>
      <c r="C2" s="11">
        <f>_xlfn.MINIFS('Daftar Produk'!$I$2:$I$42,'Daftar Produk'!$C$2:$C$42,A2)</f>
        <v>20000</v>
      </c>
      <c r="D2" s="11">
        <f>_xlfn.MAXIFS('Daftar Produk'!$I$2:$I$42,'Daftar Produk'!$C$2:$C$42,A2)</f>
        <v>30000</v>
      </c>
      <c r="E2" s="11">
        <f>AVERAGEIF('Daftar Produk'!$C$2:$C$42,A2,'Daftar Produk'!$I$2:$I$42)</f>
        <v>27000</v>
      </c>
    </row>
    <row r="3" spans="1:5" x14ac:dyDescent="0.35">
      <c r="A3" s="10" t="s">
        <v>40</v>
      </c>
      <c r="B3" s="11">
        <f>COUNTIF('Daftar Produk'!$C$2:$C$42,A3)</f>
        <v>5</v>
      </c>
      <c r="C3" s="11">
        <f>_xlfn.MINIFS('Daftar Produk'!$I$2:$I$42,'Daftar Produk'!$C$2:$C$42,A3)</f>
        <v>20000</v>
      </c>
      <c r="D3" s="11">
        <f>_xlfn.MAXIFS('Daftar Produk'!$I$2:$I$42,'Daftar Produk'!$C$2:$C$42,A3)</f>
        <v>35000</v>
      </c>
      <c r="E3" s="11">
        <f>AVERAGEIF('Daftar Produk'!$C$2:$C$42,A3,'Daftar Produk'!$I$2:$I$42)</f>
        <v>27000</v>
      </c>
    </row>
    <row r="4" spans="1:5" x14ac:dyDescent="0.35">
      <c r="A4" s="10" t="s">
        <v>65</v>
      </c>
      <c r="B4" s="11">
        <f>COUNTIF('Daftar Produk'!$C$2:$C$42,A4)</f>
        <v>2</v>
      </c>
      <c r="C4" s="11">
        <f>_xlfn.MINIFS('Daftar Produk'!$I$2:$I$42,'Daftar Produk'!$C$2:$C$42,A4)</f>
        <v>25000</v>
      </c>
      <c r="D4" s="11">
        <f>_xlfn.MAXIFS('Daftar Produk'!$I$2:$I$42,'Daftar Produk'!$C$2:$C$42,A4)</f>
        <v>30000</v>
      </c>
      <c r="E4" s="11">
        <f>AVERAGEIF('Daftar Produk'!$C$2:$C$42,A4,'Daftar Produk'!$I$2:$I$42)</f>
        <v>27500</v>
      </c>
    </row>
    <row r="5" spans="1:5" x14ac:dyDescent="0.35">
      <c r="A5" s="10" t="s">
        <v>77</v>
      </c>
      <c r="B5" s="11">
        <f>COUNTIF('Daftar Produk'!$C$2:$C$42,A5)</f>
        <v>3</v>
      </c>
      <c r="C5" s="11">
        <f>_xlfn.MINIFS('Daftar Produk'!$I$2:$I$42,'Daftar Produk'!$C$2:$C$42,A5)</f>
        <v>15000</v>
      </c>
      <c r="D5" s="11">
        <f>_xlfn.MAXIFS('Daftar Produk'!$I$2:$I$42,'Daftar Produk'!$C$2:$C$42,A5)</f>
        <v>35000</v>
      </c>
      <c r="E5" s="11">
        <f>AVERAGEIF('Daftar Produk'!$C$2:$C$42,A5,'Daftar Produk'!$I$2:$I$42)</f>
        <v>25000</v>
      </c>
    </row>
    <row r="6" spans="1:5" x14ac:dyDescent="0.35">
      <c r="A6" s="10" t="s">
        <v>93</v>
      </c>
      <c r="B6" s="11">
        <f>COUNTIF('Daftar Produk'!$C$2:$C$42,A6)</f>
        <v>2</v>
      </c>
      <c r="C6" s="11">
        <f>_xlfn.MINIFS('Daftar Produk'!$I$2:$I$42,'Daftar Produk'!$C$2:$C$42,A6)</f>
        <v>35000</v>
      </c>
      <c r="D6" s="11">
        <f>_xlfn.MAXIFS('Daftar Produk'!$I$2:$I$42,'Daftar Produk'!$C$2:$C$42,A6)</f>
        <v>35000</v>
      </c>
      <c r="E6" s="11">
        <f>AVERAGEIF('Daftar Produk'!$C$2:$C$42,A6,'Daftar Produk'!$I$2:$I$42)</f>
        <v>35000</v>
      </c>
    </row>
    <row r="7" spans="1:5" x14ac:dyDescent="0.35">
      <c r="A7" s="10" t="s">
        <v>105</v>
      </c>
      <c r="B7" s="11">
        <f>COUNTIF('Daftar Produk'!$C$2:$C$42,A7)</f>
        <v>4</v>
      </c>
      <c r="C7" s="11">
        <f>_xlfn.MINIFS('Daftar Produk'!$I$2:$I$42,'Daftar Produk'!$C$2:$C$42,A7)</f>
        <v>7000</v>
      </c>
      <c r="D7" s="11">
        <f>_xlfn.MAXIFS('Daftar Produk'!$I$2:$I$42,'Daftar Produk'!$C$2:$C$42,A7)</f>
        <v>18000</v>
      </c>
      <c r="E7" s="11">
        <f>AVERAGEIF('Daftar Produk'!$C$2:$C$42,A7,'Daftar Produk'!$I$2:$I$42)</f>
        <v>11250</v>
      </c>
    </row>
    <row r="8" spans="1:5" x14ac:dyDescent="0.35">
      <c r="A8" s="10" t="s">
        <v>112</v>
      </c>
      <c r="B8" s="11">
        <f>COUNTIF('Daftar Produk'!$C$2:$C$42,A8)</f>
        <v>4</v>
      </c>
      <c r="C8" s="11">
        <f>_xlfn.MINIFS('Daftar Produk'!$I$2:$I$42,'Daftar Produk'!$C$2:$C$42,A8)</f>
        <v>15000</v>
      </c>
      <c r="D8" s="11">
        <f>_xlfn.MAXIFS('Daftar Produk'!$I$2:$I$42,'Daftar Produk'!$C$2:$C$42,A8)</f>
        <v>38000</v>
      </c>
      <c r="E8" s="11">
        <f>AVERAGEIF('Daftar Produk'!$C$2:$C$42,A8,'Daftar Produk'!$I$2:$I$42)</f>
        <v>25250</v>
      </c>
    </row>
    <row r="9" spans="1:5" x14ac:dyDescent="0.35">
      <c r="A9" s="10" t="s">
        <v>133</v>
      </c>
      <c r="B9" s="11">
        <f>COUNTIF('Daftar Produk'!$C$2:$C$42,A9)</f>
        <v>5</v>
      </c>
      <c r="C9" s="11">
        <f>_xlfn.MINIFS('Daftar Produk'!$I$2:$I$42,'Daftar Produk'!$C$2:$C$42,A9)</f>
        <v>6000</v>
      </c>
      <c r="D9" s="11">
        <f>_xlfn.MAXIFS('Daftar Produk'!$I$2:$I$42,'Daftar Produk'!$C$2:$C$42,A9)</f>
        <v>25000</v>
      </c>
      <c r="E9" s="11">
        <f>AVERAGEIF('Daftar Produk'!$C$2:$C$42,A9,'Daftar Produk'!$I$2:$I$42)</f>
        <v>17200</v>
      </c>
    </row>
    <row r="10" spans="1:5" x14ac:dyDescent="0.35">
      <c r="A10" s="10" t="s">
        <v>140</v>
      </c>
      <c r="B10" s="11">
        <f>COUNTIF('Daftar Produk'!$C$2:$C$42,A10)</f>
        <v>6</v>
      </c>
      <c r="C10" s="11">
        <f>_xlfn.MINIFS('Daftar Produk'!$I$2:$I$42,'Daftar Produk'!$C$2:$C$42,A10)</f>
        <v>18000</v>
      </c>
      <c r="D10" s="11">
        <f>_xlfn.MAXIFS('Daftar Produk'!$I$2:$I$42,'Daftar Produk'!$C$2:$C$42,A10)</f>
        <v>55000</v>
      </c>
      <c r="E10" s="11">
        <f>AVERAGEIF('Daftar Produk'!$C$2:$C$42,A10,'Daftar Produk'!$I$2:$I$42)</f>
        <v>34166.666666666664</v>
      </c>
    </row>
    <row r="11" spans="1:5" x14ac:dyDescent="0.35">
      <c r="A11" s="10" t="s">
        <v>184</v>
      </c>
      <c r="B11" s="11">
        <f>COUNTIF('Daftar Produk'!$C$2:$C$42,A11)</f>
        <v>2</v>
      </c>
      <c r="C11" s="11">
        <f>_xlfn.MINIFS('Daftar Produk'!$I$2:$I$42,'Daftar Produk'!$C$2:$C$42,A11)</f>
        <v>10000</v>
      </c>
      <c r="D11" s="11">
        <f>_xlfn.MAXIFS('Daftar Produk'!$I$2:$I$42,'Daftar Produk'!$C$2:$C$42,A11)</f>
        <v>16000</v>
      </c>
      <c r="E11" s="11">
        <f>AVERAGEIF('Daftar Produk'!$C$2:$C$42,A11,'Daftar Produk'!$I$2:$I$42)</f>
        <v>13000</v>
      </c>
    </row>
    <row r="12" spans="1:5" x14ac:dyDescent="0.35">
      <c r="A12" s="10" t="s">
        <v>220</v>
      </c>
      <c r="B12" s="11">
        <f>COUNTIF('Daftar Produk'!$C$2:$C$42,A12)</f>
        <v>3</v>
      </c>
      <c r="C12" s="11">
        <f>_xlfn.MINIFS('Daftar Produk'!$I$2:$I$42,'Daftar Produk'!$C$2:$C$42,A12)</f>
        <v>22000</v>
      </c>
      <c r="D12" s="11">
        <f>_xlfn.MAXIFS('Daftar Produk'!$I$2:$I$42,'Daftar Produk'!$C$2:$C$42,A12)</f>
        <v>35000</v>
      </c>
      <c r="E12" s="11">
        <f>AVERAGEIF('Daftar Produk'!$C$2:$C$42,A12,'Daftar Produk'!$I$2:$I$42)</f>
        <v>29666.666666666668</v>
      </c>
    </row>
    <row r="13" spans="1:5" x14ac:dyDescent="0.35">
      <c r="A13" s="12" t="s">
        <v>242</v>
      </c>
      <c r="B13" s="13">
        <f>SUM(B2:B12)</f>
        <v>41</v>
      </c>
      <c r="C13" s="13">
        <f>MIN('Daftar Produk'!$I$2:$I$42)</f>
        <v>6000</v>
      </c>
      <c r="D13" s="13">
        <f>MAX('Daftar Produk'!$I$2:$I$42)</f>
        <v>55000</v>
      </c>
      <c r="E13" s="13">
        <f>AVERAGE('Daftar Produk'!$I$2:$I$42)</f>
        <v>24926.829268292684</v>
      </c>
    </row>
    <row r="15" spans="1:5" x14ac:dyDescent="0.35">
      <c r="A15" s="14" t="s">
        <v>243</v>
      </c>
    </row>
    <row r="16" spans="1:5" x14ac:dyDescent="0.35">
      <c r="A16" s="15" t="s">
        <v>244</v>
      </c>
    </row>
    <row r="17" spans="1:1" x14ac:dyDescent="0.35">
      <c r="A17" s="15" t="s">
        <v>245</v>
      </c>
    </row>
    <row r="18" spans="1:1" x14ac:dyDescent="0.35">
      <c r="A18" s="15" t="s">
        <v>246</v>
      </c>
    </row>
    <row r="19" spans="1:1" x14ac:dyDescent="0.35">
      <c r="A19" s="15" t="s">
        <v>247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Daftar Produk</vt:lpstr>
      <vt:lpstr>Ringkasan</vt:lpstr>
      <vt:lpstr>'Daftar Produk'!Print_Titles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Lenovo Ideapad 5</cp:lastModifiedBy>
  <cp:revision>0</cp:revision>
  <dcterms:created xsi:type="dcterms:W3CDTF">2026-10-27T16:08:35Z</dcterms:created>
  <dcterms:modified xsi:type="dcterms:W3CDTF">2026-10-27T16:13:53Z</dcterms:modified>
  <dc:language>en-US</dc:language>
</cp:coreProperties>
</file>